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Liquidacion" sheetId="2" state="visible" r:id="rId4"/>
    <sheet name="Cuenta corriente" sheetId="3" state="visible" r:id="rId5"/>
    <sheet name="Obligaciones" sheetId="4" state="visible" r:id="rId6"/>
    <sheet name="Cobros" sheetId="5" state="visible" r:id="rId7"/>
  </sheets>
  <definedNames>
    <definedName function="false" hidden="true" localSheetId="4" name="_xlnm._FilterDatabase" vbProcedure="false">Cobros!$A$4:$M$7</definedName>
    <definedName function="false" hidden="true" localSheetId="2" name="_xlnm._FilterDatabase" vbProcedure="false">'Cuenta corriente'!$A$4:$G$13</definedName>
    <definedName function="false" hidden="true" localSheetId="3" name="_xlnm._FilterDatabase" vbProcedure="false">Obligaciones!$A$4:$K$13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5" authorId="0">
      <text>
        <r>
          <rPr>
            <sz val="10"/>
            <rFont val="Arial"/>
            <family val="2"/>
          </rPr>
          <t xml:space="preserve">Dato de entrada del ejemplo: saldo de la liquidación anterior.</t>
        </r>
      </text>
    </comment>
    <comment ref="B28" authorId="0">
      <text>
        <r>
          <rPr>
            <sz val="10"/>
            <rFont val="Arial"/>
            <family val="2"/>
          </rPr>
          <t xml:space="preserve">Dato de entrada del ejemplo: acuerdo de honorarios del propietario (8 % sobre alquileres percibidos).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Dato de entrada del ejemplo: saldo anterior.</t>
        </r>
      </text>
    </comment>
  </commentList>
</comments>
</file>

<file path=xl/sharedStrings.xml><?xml version="1.0" encoding="utf-8"?>
<sst xmlns="http://schemas.openxmlformats.org/spreadsheetml/2006/main" count="244" uniqueCount="126">
  <si>
    <t xml:space="preserve">Exportación a Excel · modelo de formato</t>
  </si>
  <si>
    <t xml:space="preserve">Administración Inteligente · datos de ejemplo, iguales a los prototipos y a los PDF</t>
  </si>
  <si>
    <t xml:space="preserve">Hoja</t>
  </si>
  <si>
    <t xml:space="preserve">Contenido</t>
  </si>
  <si>
    <t xml:space="preserve">Liquidacion</t>
  </si>
  <si>
    <t xml:space="preserve">Detalle de la liquidación de un propietario por bien, con resumen, pendientes y monto a depositar calculados con fórmulas.</t>
  </si>
  <si>
    <t xml:space="preserve">Cuenta corriente</t>
  </si>
  <si>
    <t xml:space="preserve">Movimientos de la cuenta corriente de un propietario, con saldo acumulado.</t>
  </si>
  <si>
    <t xml:space="preserve">Obligaciones</t>
  </si>
  <si>
    <t xml:space="preserve">Listado de impuestos, servicios y gastos con su estado, tal como se exporta desde la pantalla Obligaciones.</t>
  </si>
  <si>
    <t xml:space="preserve">Cobros</t>
  </si>
  <si>
    <t xml:space="preserve">Cobros de alquiler del período con el total calculado.</t>
  </si>
  <si>
    <t xml:space="preserve">Convenciones</t>
  </si>
  <si>
    <t xml:space="preserve">Importes</t>
  </si>
  <si>
    <t xml:space="preserve">En pesos sin decimales, formato $ 1.234. Los importes en dólares llevan US$.</t>
  </si>
  <si>
    <t xml:space="preserve">Fechas</t>
  </si>
  <si>
    <t xml:space="preserve">Formato dd/mm/aaaa.</t>
  </si>
  <si>
    <t xml:space="preserve">Texto azul</t>
  </si>
  <si>
    <t xml:space="preserve">Datos de entrada del ejemplo (saldo anterior, porcentaje de honorarios). El resto son fórmulas.</t>
  </si>
  <si>
    <t xml:space="preserve">Nombres entre corchetes</t>
  </si>
  <si>
    <t xml:space="preserve">Marcadores: en la exportación real figuran los datos cargados en el sistema.</t>
  </si>
  <si>
    <t xml:space="preserve">Idioma</t>
  </si>
  <si>
    <t xml:space="preserve">Los encabezados se exportan en el idioma de la aplicación del usuario que exporta.</t>
  </si>
  <si>
    <t xml:space="preserve">Liquidación al propietario</t>
  </si>
  <si>
    <t xml:space="preserve">N.º LIQ-2026-0001 · emitida el 03/11/2026</t>
  </si>
  <si>
    <t xml:space="preserve">Propietario</t>
  </si>
  <si>
    <t xml:space="preserve">[Propietario A]</t>
  </si>
  <si>
    <t xml:space="preserve">Período</t>
  </si>
  <si>
    <t xml:space="preserve">Octubre 2026</t>
  </si>
  <si>
    <t xml:space="preserve">Moneda</t>
  </si>
  <si>
    <t xml:space="preserve">Pesos (ARS)</t>
  </si>
  <si>
    <t xml:space="preserve">Fecha</t>
  </si>
  <si>
    <t xml:space="preserve">Bien</t>
  </si>
  <si>
    <t xml:space="preserve">Concepto</t>
  </si>
  <si>
    <t xml:space="preserve">Detalle</t>
  </si>
  <si>
    <t xml:space="preserve">Importe total</t>
  </si>
  <si>
    <t xml:space="preserve">Participación</t>
  </si>
  <si>
    <t xml:space="preserve">Ingreso</t>
  </si>
  <si>
    <t xml:space="preserve">Egreso</t>
  </si>
  <si>
    <t xml:space="preserve">Depto Centro 3B</t>
  </si>
  <si>
    <t xml:space="preserve">Alquiler percibido</t>
  </si>
  <si>
    <t xml:space="preserve">10/2026</t>
  </si>
  <si>
    <t xml:space="preserve">Cobrado por la administración</t>
  </si>
  <si>
    <t xml:space="preserve">Municipalidad</t>
  </si>
  <si>
    <t xml:space="preserve">Rentas</t>
  </si>
  <si>
    <t xml:space="preserve">Agua</t>
  </si>
  <si>
    <t xml:space="preserve">Casa Barrio Norte</t>
  </si>
  <si>
    <t xml:space="preserve">Totales</t>
  </si>
  <si>
    <t xml:space="preserve">Obligaciones pendientes a su cargo (próximos 30 días)</t>
  </si>
  <si>
    <t xml:space="preserve">Vencimiento</t>
  </si>
  <si>
    <t xml:space="preserve">A su cargo</t>
  </si>
  <si>
    <t xml:space="preserve">11/2026</t>
  </si>
  <si>
    <t xml:space="preserve">Total pendiente</t>
  </si>
  <si>
    <t xml:space="preserve">Resumen del período</t>
  </si>
  <si>
    <t xml:space="preserve">Saldo anterior</t>
  </si>
  <si>
    <t xml:space="preserve">Alquileres percibidos</t>
  </si>
  <si>
    <t xml:space="preserve">Pagos de impuestos y servicios</t>
  </si>
  <si>
    <t xml:space="preserve">Porcentaje de honorarios</t>
  </si>
  <si>
    <t xml:space="preserve">Honorarios de administración</t>
  </si>
  <si>
    <t xml:space="preserve">Saldo a favor del propietario</t>
  </si>
  <si>
    <t xml:space="preserve">Obligaciones pendientes próximos 30 días</t>
  </si>
  <si>
    <t xml:space="preserve">Monto a depositar por el propietario</t>
  </si>
  <si>
    <t xml:space="preserve">Saldo disponible para transferir</t>
  </si>
  <si>
    <t xml:space="preserve">Dólares (USD): sin movimientos en el período.</t>
  </si>
  <si>
    <t xml:space="preserve">Cuenta corriente · [Propietario A] · Pesos (ARS)</t>
  </si>
  <si>
    <t xml:space="preserve">Del 01/10/2026 al 31/10/2026</t>
  </si>
  <si>
    <t xml:space="preserve">Tipo</t>
  </si>
  <si>
    <t xml:space="preserve">Descripción</t>
  </si>
  <si>
    <t xml:space="preserve">Debe</t>
  </si>
  <si>
    <t xml:space="preserve">Haber</t>
  </si>
  <si>
    <t xml:space="preserve">Saldo</t>
  </si>
  <si>
    <t xml:space="preserve">Saldo al cierre de septiembre</t>
  </si>
  <si>
    <t xml:space="preserve">Alquiler 10/2026 (60 %)</t>
  </si>
  <si>
    <t xml:space="preserve">Alquiler 10/2026</t>
  </si>
  <si>
    <t xml:space="preserve">Pago de obligación</t>
  </si>
  <si>
    <t xml:space="preserve">Municipalidad 10/2026 (60 %)</t>
  </si>
  <si>
    <t xml:space="preserve">Municipalidad 10/2026</t>
  </si>
  <si>
    <t xml:space="preserve">Rentas 10/2026 (60 %)</t>
  </si>
  <si>
    <t xml:space="preserve">Rentas 10/2026</t>
  </si>
  <si>
    <t xml:space="preserve">Agua 10/2026 (60 %)</t>
  </si>
  <si>
    <t xml:space="preserve">Honorarios</t>
  </si>
  <si>
    <t xml:space="preserve">Honorarios 10/2026 (8 %)</t>
  </si>
  <si>
    <t xml:space="preserve">Saldo final</t>
  </si>
  <si>
    <t xml:space="preserve">Exportado el 13/10/2026 · filtro: todas</t>
  </si>
  <si>
    <t xml:space="preserve">Empresa prestadora</t>
  </si>
  <si>
    <t xml:space="preserve">Monto</t>
  </si>
  <si>
    <t xml:space="preserve">Responsable</t>
  </si>
  <si>
    <t xml:space="preserve">Estado</t>
  </si>
  <si>
    <t xml:space="preserve">Fecha de pago</t>
  </si>
  <si>
    <t xml:space="preserve">Pagado por</t>
  </si>
  <si>
    <t xml:space="preserve">Municipalidad de Córdoba</t>
  </si>
  <si>
    <t xml:space="preserve">ARS</t>
  </si>
  <si>
    <t xml:space="preserve">Pagada</t>
  </si>
  <si>
    <t xml:space="preserve">Administración</t>
  </si>
  <si>
    <t xml:space="preserve">Luz</t>
  </si>
  <si>
    <t xml:space="preserve">[Empresa de energía]</t>
  </si>
  <si>
    <t xml:space="preserve">Inquilino</t>
  </si>
  <si>
    <t xml:space="preserve">Pendiente</t>
  </si>
  <si>
    <t xml:space="preserve">Expensas</t>
  </si>
  <si>
    <t xml:space="preserve">[Administración del consorcio]</t>
  </si>
  <si>
    <t xml:space="preserve">Rentas de Córdoba</t>
  </si>
  <si>
    <t xml:space="preserve">[Empresa de agua]</t>
  </si>
  <si>
    <t xml:space="preserve">Dúplex Güemes</t>
  </si>
  <si>
    <t xml:space="preserve">Otro</t>
  </si>
  <si>
    <t xml:space="preserve">Reparación de persiana (presupuesto)</t>
  </si>
  <si>
    <t xml:space="preserve">Total</t>
  </si>
  <si>
    <t xml:space="preserve">Cobros de alquiler</t>
  </si>
  <si>
    <t xml:space="preserve">Período octubre 2026</t>
  </si>
  <si>
    <t xml:space="preserve">Fecha de cobro</t>
  </si>
  <si>
    <t xml:space="preserve">Alquiler</t>
  </si>
  <si>
    <t xml:space="preserve">Punitorios</t>
  </si>
  <si>
    <t xml:space="preserve">Bonificación</t>
  </si>
  <si>
    <t xml:space="preserve">Gastos recuperados</t>
  </si>
  <si>
    <t xml:space="preserve">Percibido por</t>
  </si>
  <si>
    <t xml:space="preserve">Medio</t>
  </si>
  <si>
    <t xml:space="preserve">Recibo</t>
  </si>
  <si>
    <t xml:space="preserve">[Inquilino 1]</t>
  </si>
  <si>
    <t xml:space="preserve">Transferencia</t>
  </si>
  <si>
    <t xml:space="preserve">REC-2026-0001</t>
  </si>
  <si>
    <t xml:space="preserve">[Inquilino 2]</t>
  </si>
  <si>
    <t xml:space="preserve">REC-2026-0002</t>
  </si>
  <si>
    <t xml:space="preserve">Local Centro</t>
  </si>
  <si>
    <t xml:space="preserve">[Inquilino 3]</t>
  </si>
  <si>
    <t xml:space="preserve">Directo al propietario</t>
  </si>
  <si>
    <t xml:space="preserve">Efectivo</t>
  </si>
  <si>
    <t xml:space="preserve">Percibido por la administración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</si>
</sst>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&quot;$ &quot;#,##0;&quot;-$ &quot;#,##0;\-"/>
    <numFmt numFmtId="167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8212B"/>
      <name val="Arial"/>
      <family val="0"/>
      <charset val="1"/>
    </font>
    <font>
      <sz val="9"/>
      <color rgb="FF5560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8212B"/>
      <name val="Arial"/>
      <family val="0"/>
      <charset val="1"/>
    </font>
    <font>
      <b val="true"/>
      <sz val="10"/>
      <color rgb="FF18212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18212B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2"/>
    </font>
    <font>
      <b val="true"/>
      <sz val="10"/>
      <color rgb="FF8A4B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8212B"/>
        <bgColor rgb="FF003300"/>
      </patternFill>
    </fill>
    <fill>
      <patternFill patternType="solid">
        <fgColor rgb="FFF3F5F8"/>
        <bgColor rgb="FFE7EDF5"/>
      </patternFill>
    </fill>
    <fill>
      <patternFill patternType="solid">
        <fgColor rgb="FFE7EDF5"/>
        <bgColor rgb="FFF3F5F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EE6"/>
      </bottom>
      <diagonal/>
    </border>
    <border diagonalUp="false" diagonalDown="false">
      <left/>
      <right/>
      <top style="medium">
        <color rgb="FF18212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821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8A4B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5F8"/>
      <rgbColor rgb="FFE7EDF5"/>
      <rgbColor rgb="FF660066"/>
      <rgbColor rgb="FFFF8080"/>
      <rgbColor rgb="FF0066CC"/>
      <rgbColor rgb="FFD8DE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06B"/>
      <rgbColor rgb="FF969696"/>
      <rgbColor rgb="FF1F3A5F"/>
      <rgbColor rgb="FF339966"/>
      <rgbColor rgb="FF003300"/>
      <rgbColor rgb="FF333300"/>
      <rgbColor rgb="FF8A4B00"/>
      <rgbColor rgb="FF993366"/>
      <rgbColor rgb="FF333399"/>
      <rgbColor rgb="FF1821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5" t="s">
        <v>6</v>
      </c>
      <c r="B6" s="6" t="s">
        <v>7</v>
      </c>
    </row>
    <row r="7" customFormat="false" ht="15" hidden="false" customHeight="false" outlineLevel="0" collapsed="false">
      <c r="A7" s="5" t="s">
        <v>8</v>
      </c>
      <c r="B7" s="6" t="s">
        <v>9</v>
      </c>
    </row>
    <row r="8" customFormat="false" ht="15" hidden="false" customHeight="false" outlineLevel="0" collapsed="false">
      <c r="A8" s="5" t="s">
        <v>10</v>
      </c>
      <c r="B8" s="6" t="s">
        <v>11</v>
      </c>
    </row>
    <row r="9" customFormat="false" ht="15" hidden="false" customHeight="false" outlineLevel="0" collapsed="false">
      <c r="A9" s="5"/>
      <c r="B9" s="6"/>
    </row>
    <row r="10" customFormat="false" ht="15" hidden="false" customHeight="false" outlineLevel="0" collapsed="false">
      <c r="A10" s="7" t="s">
        <v>12</v>
      </c>
      <c r="B10" s="6"/>
    </row>
    <row r="11" customFormat="false" ht="15" hidden="false" customHeight="false" outlineLevel="0" collapsed="false">
      <c r="A11" s="5" t="s">
        <v>13</v>
      </c>
      <c r="B11" s="6" t="s">
        <v>14</v>
      </c>
    </row>
    <row r="12" customFormat="false" ht="15" hidden="false" customHeight="false" outlineLevel="0" collapsed="false">
      <c r="A12" s="5" t="s">
        <v>15</v>
      </c>
      <c r="B12" s="6" t="s">
        <v>16</v>
      </c>
    </row>
    <row r="13" customFormat="false" ht="15" hidden="false" customHeight="false" outlineLevel="0" collapsed="false">
      <c r="A13" s="5" t="s">
        <v>17</v>
      </c>
      <c r="B13" s="6" t="s">
        <v>18</v>
      </c>
    </row>
    <row r="14" customFormat="false" ht="15" hidden="false" customHeight="false" outlineLevel="0" collapsed="false">
      <c r="A14" s="5" t="s">
        <v>19</v>
      </c>
      <c r="B14" s="6" t="s">
        <v>20</v>
      </c>
    </row>
    <row r="15" customFormat="false" ht="15" hidden="false" customHeight="false" outlineLevel="0" collapsed="false">
      <c r="A15" s="5" t="s">
        <v>21</v>
      </c>
      <c r="B15" s="6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0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9" min="8" style="0" width="15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15" hidden="false" customHeight="false" outlineLevel="0" collapsed="false">
      <c r="A4" s="2" t="s">
        <v>25</v>
      </c>
      <c r="B4" s="8" t="s">
        <v>26</v>
      </c>
    </row>
    <row r="5" customFormat="false" ht="15" hidden="false" customHeight="false" outlineLevel="0" collapsed="false">
      <c r="A5" s="2" t="s">
        <v>27</v>
      </c>
      <c r="B5" s="8" t="s">
        <v>28</v>
      </c>
    </row>
    <row r="6" customFormat="false" ht="15" hidden="false" customHeight="false" outlineLevel="0" collapsed="false">
      <c r="A6" s="2" t="s">
        <v>29</v>
      </c>
      <c r="B6" s="8" t="s">
        <v>30</v>
      </c>
    </row>
    <row r="8" customFormat="false" ht="21.75" hidden="false" customHeight="true" outlineLevel="0" collapsed="false">
      <c r="A8" s="9" t="s">
        <v>31</v>
      </c>
      <c r="B8" s="9" t="s">
        <v>32</v>
      </c>
      <c r="C8" s="9" t="s">
        <v>33</v>
      </c>
      <c r="D8" s="9" t="s">
        <v>27</v>
      </c>
      <c r="E8" s="9" t="s">
        <v>34</v>
      </c>
      <c r="F8" s="9" t="s">
        <v>35</v>
      </c>
      <c r="G8" s="9" t="s">
        <v>36</v>
      </c>
      <c r="H8" s="9" t="s">
        <v>37</v>
      </c>
      <c r="I8" s="9" t="s">
        <v>38</v>
      </c>
    </row>
    <row r="9" customFormat="false" ht="15" hidden="false" customHeight="false" outlineLevel="0" collapsed="false">
      <c r="A9" s="10" t="n">
        <v>46300</v>
      </c>
      <c r="B9" s="11" t="s">
        <v>39</v>
      </c>
      <c r="C9" s="11" t="s">
        <v>40</v>
      </c>
      <c r="D9" s="11" t="s">
        <v>41</v>
      </c>
      <c r="E9" s="11" t="s">
        <v>42</v>
      </c>
      <c r="F9" s="12" t="n">
        <v>480000</v>
      </c>
      <c r="G9" s="13" t="n">
        <v>0.6</v>
      </c>
      <c r="H9" s="12" t="n">
        <f aca="false">F9*G9</f>
        <v>288000</v>
      </c>
      <c r="I9" s="12" t="n">
        <v>0</v>
      </c>
    </row>
    <row r="10" customFormat="false" ht="15" hidden="false" customHeight="false" outlineLevel="0" collapsed="false">
      <c r="A10" s="10" t="n">
        <v>46303</v>
      </c>
      <c r="B10" s="11" t="s">
        <v>39</v>
      </c>
      <c r="C10" s="11" t="s">
        <v>43</v>
      </c>
      <c r="D10" s="11" t="s">
        <v>41</v>
      </c>
      <c r="E10" s="11"/>
      <c r="F10" s="12" t="n">
        <v>41300</v>
      </c>
      <c r="G10" s="13" t="n">
        <v>0.6</v>
      </c>
      <c r="H10" s="12" t="n">
        <v>0</v>
      </c>
      <c r="I10" s="12" t="n">
        <f aca="false">F10*G10</f>
        <v>24780</v>
      </c>
    </row>
    <row r="11" customFormat="false" ht="15" hidden="false" customHeight="false" outlineLevel="0" collapsed="false">
      <c r="A11" s="10" t="n">
        <v>46315</v>
      </c>
      <c r="B11" s="11" t="s">
        <v>39</v>
      </c>
      <c r="C11" s="11" t="s">
        <v>44</v>
      </c>
      <c r="D11" s="11" t="s">
        <v>41</v>
      </c>
      <c r="E11" s="11"/>
      <c r="F11" s="12" t="n">
        <v>33900</v>
      </c>
      <c r="G11" s="13" t="n">
        <v>0.6</v>
      </c>
      <c r="H11" s="12" t="n">
        <v>0</v>
      </c>
      <c r="I11" s="12" t="n">
        <f aca="false">F11*G11</f>
        <v>20340</v>
      </c>
    </row>
    <row r="12" customFormat="false" ht="15" hidden="false" customHeight="false" outlineLevel="0" collapsed="false">
      <c r="A12" s="10" t="n">
        <v>46317</v>
      </c>
      <c r="B12" s="11" t="s">
        <v>39</v>
      </c>
      <c r="C12" s="11" t="s">
        <v>45</v>
      </c>
      <c r="D12" s="11" t="s">
        <v>41</v>
      </c>
      <c r="E12" s="11"/>
      <c r="F12" s="12" t="n">
        <v>18200</v>
      </c>
      <c r="G12" s="13" t="n">
        <v>0.6</v>
      </c>
      <c r="H12" s="12" t="n">
        <v>0</v>
      </c>
      <c r="I12" s="12" t="n">
        <f aca="false">F12*G12</f>
        <v>10920</v>
      </c>
    </row>
    <row r="13" customFormat="false" ht="15" hidden="false" customHeight="false" outlineLevel="0" collapsed="false">
      <c r="A13" s="10" t="n">
        <v>46301</v>
      </c>
      <c r="B13" s="11" t="s">
        <v>46</v>
      </c>
      <c r="C13" s="11" t="s">
        <v>40</v>
      </c>
      <c r="D13" s="11" t="s">
        <v>41</v>
      </c>
      <c r="E13" s="11" t="s">
        <v>42</v>
      </c>
      <c r="F13" s="12" t="n">
        <v>350000</v>
      </c>
      <c r="G13" s="13" t="n">
        <v>1</v>
      </c>
      <c r="H13" s="12" t="n">
        <f aca="false">F13*G13</f>
        <v>350000</v>
      </c>
      <c r="I13" s="12" t="n">
        <v>0</v>
      </c>
    </row>
    <row r="14" customFormat="false" ht="15" hidden="false" customHeight="false" outlineLevel="0" collapsed="false">
      <c r="A14" s="10" t="n">
        <v>46305</v>
      </c>
      <c r="B14" s="11" t="s">
        <v>46</v>
      </c>
      <c r="C14" s="11" t="s">
        <v>43</v>
      </c>
      <c r="D14" s="11" t="s">
        <v>41</v>
      </c>
      <c r="E14" s="11"/>
      <c r="F14" s="12" t="n">
        <v>22500</v>
      </c>
      <c r="G14" s="13" t="n">
        <v>1</v>
      </c>
      <c r="H14" s="12" t="n">
        <v>0</v>
      </c>
      <c r="I14" s="12" t="n">
        <f aca="false">F14*G14</f>
        <v>22500</v>
      </c>
    </row>
    <row r="15" customFormat="false" ht="15" hidden="false" customHeight="false" outlineLevel="0" collapsed="false">
      <c r="A15" s="10" t="n">
        <v>46315</v>
      </c>
      <c r="B15" s="11" t="s">
        <v>46</v>
      </c>
      <c r="C15" s="11" t="s">
        <v>44</v>
      </c>
      <c r="D15" s="11" t="s">
        <v>41</v>
      </c>
      <c r="E15" s="11"/>
      <c r="F15" s="12" t="n">
        <v>18700</v>
      </c>
      <c r="G15" s="13" t="n">
        <v>1</v>
      </c>
      <c r="H15" s="12" t="n">
        <v>0</v>
      </c>
      <c r="I15" s="12" t="n">
        <f aca="false">F15*G15</f>
        <v>18700</v>
      </c>
    </row>
    <row r="16" customFormat="false" ht="15" hidden="false" customHeight="false" outlineLevel="0" collapsed="false">
      <c r="A16" s="14" t="s">
        <v>47</v>
      </c>
      <c r="B16" s="15"/>
      <c r="C16" s="15"/>
      <c r="D16" s="15"/>
      <c r="E16" s="15"/>
      <c r="F16" s="15"/>
      <c r="G16" s="15"/>
      <c r="H16" s="16" t="n">
        <f aca="false">SUM(H9:H15)</f>
        <v>638000</v>
      </c>
      <c r="I16" s="16" t="n">
        <f aca="false">SUM(I9:I15)</f>
        <v>97240</v>
      </c>
    </row>
    <row r="18" customFormat="false" ht="15" hidden="false" customHeight="false" outlineLevel="0" collapsed="false">
      <c r="A18" s="17" t="s">
        <v>48</v>
      </c>
    </row>
    <row r="19" customFormat="false" ht="21.75" hidden="false" customHeight="true" outlineLevel="0" collapsed="false">
      <c r="A19" s="9" t="s">
        <v>49</v>
      </c>
      <c r="B19" s="9" t="s">
        <v>32</v>
      </c>
      <c r="C19" s="9" t="s">
        <v>33</v>
      </c>
      <c r="D19" s="9" t="s">
        <v>27</v>
      </c>
      <c r="E19" s="9" t="s">
        <v>34</v>
      </c>
      <c r="F19" s="9" t="s">
        <v>35</v>
      </c>
      <c r="G19" s="9" t="s">
        <v>36</v>
      </c>
      <c r="H19" s="9" t="s">
        <v>50</v>
      </c>
      <c r="I19" s="18"/>
    </row>
    <row r="20" customFormat="false" ht="15" hidden="false" customHeight="false" outlineLevel="0" collapsed="false">
      <c r="A20" s="10" t="n">
        <v>46334</v>
      </c>
      <c r="B20" s="11" t="s">
        <v>39</v>
      </c>
      <c r="C20" s="11" t="s">
        <v>43</v>
      </c>
      <c r="D20" s="11" t="s">
        <v>51</v>
      </c>
      <c r="E20" s="11"/>
      <c r="F20" s="12" t="n">
        <v>41300</v>
      </c>
      <c r="G20" s="13" t="n">
        <v>0.6</v>
      </c>
      <c r="H20" s="12" t="n">
        <f aca="false">F20*G20</f>
        <v>24780</v>
      </c>
    </row>
    <row r="21" customFormat="false" ht="15" hidden="false" customHeight="false" outlineLevel="0" collapsed="false">
      <c r="A21" s="10" t="n">
        <v>46346</v>
      </c>
      <c r="B21" s="11" t="s">
        <v>46</v>
      </c>
      <c r="C21" s="11" t="s">
        <v>44</v>
      </c>
      <c r="D21" s="11" t="s">
        <v>51</v>
      </c>
      <c r="E21" s="11"/>
      <c r="F21" s="12" t="n">
        <v>18700</v>
      </c>
      <c r="G21" s="13" t="n">
        <v>1</v>
      </c>
      <c r="H21" s="12" t="n">
        <f aca="false">F21*G21</f>
        <v>18700</v>
      </c>
    </row>
    <row r="22" customFormat="false" ht="15" hidden="false" customHeight="false" outlineLevel="0" collapsed="false">
      <c r="A22" s="14" t="s">
        <v>52</v>
      </c>
      <c r="B22" s="15"/>
      <c r="C22" s="15"/>
      <c r="D22" s="15"/>
      <c r="E22" s="15"/>
      <c r="F22" s="15"/>
      <c r="G22" s="15"/>
      <c r="H22" s="16" t="n">
        <f aca="false">SUM(H20:H21)</f>
        <v>43480</v>
      </c>
    </row>
    <row r="24" customFormat="false" ht="15" hidden="false" customHeight="false" outlineLevel="0" collapsed="false">
      <c r="A24" s="17" t="s">
        <v>53</v>
      </c>
    </row>
    <row r="25" customFormat="false" ht="15" hidden="false" customHeight="false" outlineLevel="0" collapsed="false">
      <c r="A25" s="11" t="s">
        <v>54</v>
      </c>
      <c r="B25" s="19" t="n">
        <v>12300</v>
      </c>
    </row>
    <row r="26" customFormat="false" ht="15" hidden="false" customHeight="false" outlineLevel="0" collapsed="false">
      <c r="A26" s="11" t="s">
        <v>55</v>
      </c>
      <c r="B26" s="12" t="n">
        <f aca="false">H16</f>
        <v>638000</v>
      </c>
    </row>
    <row r="27" customFormat="false" ht="15" hidden="false" customHeight="false" outlineLevel="0" collapsed="false">
      <c r="A27" s="11" t="s">
        <v>56</v>
      </c>
      <c r="B27" s="12" t="n">
        <f aca="false">-I16</f>
        <v>-97240</v>
      </c>
    </row>
    <row r="28" customFormat="false" ht="15" hidden="false" customHeight="false" outlineLevel="0" collapsed="false">
      <c r="A28" s="11" t="s">
        <v>57</v>
      </c>
      <c r="B28" s="20" t="n">
        <v>0.08</v>
      </c>
    </row>
    <row r="29" customFormat="false" ht="15" hidden="false" customHeight="false" outlineLevel="0" collapsed="false">
      <c r="A29" s="11" t="s">
        <v>58</v>
      </c>
      <c r="B29" s="12" t="n">
        <f aca="false">-ROUND(H16*B28,0)</f>
        <v>-51040</v>
      </c>
    </row>
    <row r="30" customFormat="false" ht="15" hidden="false" customHeight="false" outlineLevel="0" collapsed="false">
      <c r="A30" s="21" t="s">
        <v>59</v>
      </c>
      <c r="B30" s="22" t="n">
        <f aca="false">B25+B26+B27+B29</f>
        <v>502020</v>
      </c>
    </row>
    <row r="31" customFormat="false" ht="15" hidden="false" customHeight="false" outlineLevel="0" collapsed="false">
      <c r="A31" s="11" t="s">
        <v>60</v>
      </c>
      <c r="B31" s="12" t="n">
        <f aca="false">-H22</f>
        <v>-43480</v>
      </c>
    </row>
    <row r="32" customFormat="false" ht="15" hidden="false" customHeight="false" outlineLevel="0" collapsed="false">
      <c r="A32" s="21" t="s">
        <v>61</v>
      </c>
      <c r="B32" s="22" t="n">
        <f aca="false">MAX(0,-(B30+B31))</f>
        <v>0</v>
      </c>
    </row>
    <row r="33" customFormat="false" ht="15" hidden="false" customHeight="false" outlineLevel="0" collapsed="false">
      <c r="A33" s="23" t="s">
        <v>62</v>
      </c>
      <c r="B33" s="24" t="n">
        <f aca="false">MAX(0,B30+B31)</f>
        <v>458540</v>
      </c>
    </row>
    <row r="35" customFormat="false" ht="15" hidden="false" customHeight="false" outlineLevel="0" collapsed="false">
      <c r="A35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20"/>
    <col collapsed="false" customWidth="true" hidden="false" outlineLevel="0" max="4" min="4" style="0" width="34"/>
    <col collapsed="false" customWidth="true" hidden="false" outlineLevel="0" max="7" min="5" style="0" width="14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4" customFormat="false" ht="21.75" hidden="false" customHeight="true" outlineLevel="0" collapsed="false">
      <c r="A4" s="9" t="s">
        <v>31</v>
      </c>
      <c r="B4" s="9" t="s">
        <v>32</v>
      </c>
      <c r="C4" s="9" t="s">
        <v>66</v>
      </c>
      <c r="D4" s="9" t="s">
        <v>67</v>
      </c>
      <c r="E4" s="9" t="s">
        <v>68</v>
      </c>
      <c r="F4" s="9" t="s">
        <v>69</v>
      </c>
      <c r="G4" s="9" t="s">
        <v>70</v>
      </c>
    </row>
    <row r="5" customFormat="false" ht="15" hidden="false" customHeight="false" outlineLevel="0" collapsed="false">
      <c r="A5" s="10" t="n">
        <v>46295</v>
      </c>
      <c r="B5" s="11"/>
      <c r="C5" s="11" t="s">
        <v>54</v>
      </c>
      <c r="D5" s="11" t="s">
        <v>71</v>
      </c>
      <c r="E5" s="12" t="n">
        <v>0</v>
      </c>
      <c r="F5" s="12" t="n">
        <v>0</v>
      </c>
      <c r="G5" s="19" t="n">
        <v>12300</v>
      </c>
    </row>
    <row r="6" customFormat="false" ht="15" hidden="false" customHeight="false" outlineLevel="0" collapsed="false">
      <c r="A6" s="10" t="n">
        <v>46300</v>
      </c>
      <c r="B6" s="11" t="s">
        <v>39</v>
      </c>
      <c r="C6" s="11" t="s">
        <v>40</v>
      </c>
      <c r="D6" s="11" t="s">
        <v>72</v>
      </c>
      <c r="E6" s="12" t="n">
        <v>0</v>
      </c>
      <c r="F6" s="12" t="n">
        <v>288000</v>
      </c>
      <c r="G6" s="12" t="n">
        <f aca="false">G5+F6-E6</f>
        <v>300300</v>
      </c>
    </row>
    <row r="7" customFormat="false" ht="15" hidden="false" customHeight="false" outlineLevel="0" collapsed="false">
      <c r="A7" s="10" t="n">
        <v>46301</v>
      </c>
      <c r="B7" s="11" t="s">
        <v>46</v>
      </c>
      <c r="C7" s="11" t="s">
        <v>40</v>
      </c>
      <c r="D7" s="11" t="s">
        <v>73</v>
      </c>
      <c r="E7" s="12" t="n">
        <v>0</v>
      </c>
      <c r="F7" s="12" t="n">
        <v>350000</v>
      </c>
      <c r="G7" s="12" t="n">
        <f aca="false">G6+F7-E7</f>
        <v>650300</v>
      </c>
    </row>
    <row r="8" customFormat="false" ht="15" hidden="false" customHeight="false" outlineLevel="0" collapsed="false">
      <c r="A8" s="10" t="n">
        <v>46303</v>
      </c>
      <c r="B8" s="11" t="s">
        <v>39</v>
      </c>
      <c r="C8" s="11" t="s">
        <v>74</v>
      </c>
      <c r="D8" s="11" t="s">
        <v>75</v>
      </c>
      <c r="E8" s="12" t="n">
        <v>24780</v>
      </c>
      <c r="F8" s="12" t="n">
        <v>0</v>
      </c>
      <c r="G8" s="12" t="n">
        <f aca="false">G7+F8-E8</f>
        <v>625520</v>
      </c>
    </row>
    <row r="9" customFormat="false" ht="15" hidden="false" customHeight="false" outlineLevel="0" collapsed="false">
      <c r="A9" s="10" t="n">
        <v>46305</v>
      </c>
      <c r="B9" s="11" t="s">
        <v>46</v>
      </c>
      <c r="C9" s="11" t="s">
        <v>74</v>
      </c>
      <c r="D9" s="11" t="s">
        <v>76</v>
      </c>
      <c r="E9" s="12" t="n">
        <v>22500</v>
      </c>
      <c r="F9" s="12" t="n">
        <v>0</v>
      </c>
      <c r="G9" s="12" t="n">
        <f aca="false">G8+F9-E9</f>
        <v>603020</v>
      </c>
    </row>
    <row r="10" customFormat="false" ht="15" hidden="false" customHeight="false" outlineLevel="0" collapsed="false">
      <c r="A10" s="10" t="n">
        <v>46315</v>
      </c>
      <c r="B10" s="11" t="s">
        <v>39</v>
      </c>
      <c r="C10" s="11" t="s">
        <v>74</v>
      </c>
      <c r="D10" s="11" t="s">
        <v>77</v>
      </c>
      <c r="E10" s="12" t="n">
        <v>20340</v>
      </c>
      <c r="F10" s="12" t="n">
        <v>0</v>
      </c>
      <c r="G10" s="12" t="n">
        <f aca="false">G9+F10-E10</f>
        <v>582680</v>
      </c>
    </row>
    <row r="11" customFormat="false" ht="15" hidden="false" customHeight="false" outlineLevel="0" collapsed="false">
      <c r="A11" s="10" t="n">
        <v>46315</v>
      </c>
      <c r="B11" s="11" t="s">
        <v>46</v>
      </c>
      <c r="C11" s="11" t="s">
        <v>74</v>
      </c>
      <c r="D11" s="11" t="s">
        <v>78</v>
      </c>
      <c r="E11" s="12" t="n">
        <v>18700</v>
      </c>
      <c r="F11" s="12" t="n">
        <v>0</v>
      </c>
      <c r="G11" s="12" t="n">
        <f aca="false">G10+F11-E11</f>
        <v>563980</v>
      </c>
    </row>
    <row r="12" customFormat="false" ht="15" hidden="false" customHeight="false" outlineLevel="0" collapsed="false">
      <c r="A12" s="10" t="n">
        <v>46317</v>
      </c>
      <c r="B12" s="11" t="s">
        <v>39</v>
      </c>
      <c r="C12" s="11" t="s">
        <v>74</v>
      </c>
      <c r="D12" s="11" t="s">
        <v>79</v>
      </c>
      <c r="E12" s="12" t="n">
        <v>10920</v>
      </c>
      <c r="F12" s="12" t="n">
        <v>0</v>
      </c>
      <c r="G12" s="12" t="n">
        <f aca="false">G11+F12-E12</f>
        <v>553060</v>
      </c>
    </row>
    <row r="13" customFormat="false" ht="15" hidden="false" customHeight="false" outlineLevel="0" collapsed="false">
      <c r="A13" s="10" t="n">
        <v>46326</v>
      </c>
      <c r="B13" s="11"/>
      <c r="C13" s="11" t="s">
        <v>80</v>
      </c>
      <c r="D13" s="11" t="s">
        <v>81</v>
      </c>
      <c r="E13" s="12" t="n">
        <v>51040</v>
      </c>
      <c r="F13" s="12" t="n">
        <v>0</v>
      </c>
      <c r="G13" s="12" t="n">
        <f aca="false">G12+F13-E13</f>
        <v>502020</v>
      </c>
    </row>
    <row r="14" customFormat="false" ht="15" hidden="false" customHeight="false" outlineLevel="0" collapsed="false">
      <c r="A14" s="14" t="s">
        <v>82</v>
      </c>
      <c r="B14" s="15"/>
      <c r="C14" s="15"/>
      <c r="D14" s="15"/>
      <c r="E14" s="16" t="n">
        <f aca="false">SUM(E6:E13)</f>
        <v>148280</v>
      </c>
      <c r="F14" s="16" t="n">
        <f aca="false">SUM(F6:F13)</f>
        <v>638000</v>
      </c>
      <c r="G14" s="16" t="n">
        <f aca="false">G13</f>
        <v>502020</v>
      </c>
    </row>
  </sheetData>
  <autoFilter ref="A4:G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2" t="s">
        <v>83</v>
      </c>
    </row>
    <row r="4" customFormat="false" ht="21.75" hidden="false" customHeight="true" outlineLevel="0" collapsed="false">
      <c r="A4" s="9" t="s">
        <v>32</v>
      </c>
      <c r="B4" s="9" t="s">
        <v>33</v>
      </c>
      <c r="C4" s="9" t="s">
        <v>84</v>
      </c>
      <c r="D4" s="9" t="s">
        <v>27</v>
      </c>
      <c r="E4" s="9" t="s">
        <v>49</v>
      </c>
      <c r="F4" s="9" t="s">
        <v>29</v>
      </c>
      <c r="G4" s="9" t="s">
        <v>85</v>
      </c>
      <c r="H4" s="9" t="s">
        <v>86</v>
      </c>
      <c r="I4" s="9" t="s">
        <v>87</v>
      </c>
      <c r="J4" s="9" t="s">
        <v>88</v>
      </c>
      <c r="K4" s="9" t="s">
        <v>89</v>
      </c>
    </row>
    <row r="5" customFormat="false" ht="15" hidden="false" customHeight="false" outlineLevel="0" collapsed="false">
      <c r="A5" s="11" t="s">
        <v>39</v>
      </c>
      <c r="B5" s="11" t="s">
        <v>43</v>
      </c>
      <c r="C5" s="11" t="s">
        <v>90</v>
      </c>
      <c r="D5" s="11" t="s">
        <v>41</v>
      </c>
      <c r="E5" s="10" t="n">
        <v>46303</v>
      </c>
      <c r="F5" s="11" t="s">
        <v>91</v>
      </c>
      <c r="G5" s="12" t="n">
        <v>41300</v>
      </c>
      <c r="H5" s="11" t="s">
        <v>25</v>
      </c>
      <c r="I5" s="11" t="s">
        <v>92</v>
      </c>
      <c r="J5" s="10" t="n">
        <v>46303</v>
      </c>
      <c r="K5" s="11" t="s">
        <v>93</v>
      </c>
    </row>
    <row r="6" customFormat="false" ht="15" hidden="false" customHeight="false" outlineLevel="0" collapsed="false">
      <c r="A6" s="11" t="s">
        <v>39</v>
      </c>
      <c r="B6" s="11" t="s">
        <v>94</v>
      </c>
      <c r="C6" s="11" t="s">
        <v>95</v>
      </c>
      <c r="D6" s="11" t="s">
        <v>41</v>
      </c>
      <c r="E6" s="10" t="n">
        <v>46309</v>
      </c>
      <c r="F6" s="11" t="s">
        <v>91</v>
      </c>
      <c r="G6" s="12" t="n">
        <v>28750</v>
      </c>
      <c r="H6" s="11" t="s">
        <v>96</v>
      </c>
      <c r="I6" s="25" t="s">
        <v>97</v>
      </c>
      <c r="J6" s="10"/>
      <c r="K6" s="11"/>
    </row>
    <row r="7" customFormat="false" ht="15" hidden="false" customHeight="false" outlineLevel="0" collapsed="false">
      <c r="A7" s="11" t="s">
        <v>39</v>
      </c>
      <c r="B7" s="11" t="s">
        <v>98</v>
      </c>
      <c r="C7" s="11" t="s">
        <v>99</v>
      </c>
      <c r="D7" s="11" t="s">
        <v>41</v>
      </c>
      <c r="E7" s="10" t="n">
        <v>46310</v>
      </c>
      <c r="F7" s="11" t="s">
        <v>91</v>
      </c>
      <c r="G7" s="12" t="n">
        <v>96000</v>
      </c>
      <c r="H7" s="11" t="s">
        <v>25</v>
      </c>
      <c r="I7" s="25" t="s">
        <v>97</v>
      </c>
      <c r="J7" s="10"/>
      <c r="K7" s="11"/>
    </row>
    <row r="8" customFormat="false" ht="15" hidden="false" customHeight="false" outlineLevel="0" collapsed="false">
      <c r="A8" s="11" t="s">
        <v>39</v>
      </c>
      <c r="B8" s="11" t="s">
        <v>44</v>
      </c>
      <c r="C8" s="11" t="s">
        <v>100</v>
      </c>
      <c r="D8" s="11" t="s">
        <v>41</v>
      </c>
      <c r="E8" s="10" t="n">
        <v>46315</v>
      </c>
      <c r="F8" s="11" t="s">
        <v>91</v>
      </c>
      <c r="G8" s="12" t="n">
        <v>33900</v>
      </c>
      <c r="H8" s="11" t="s">
        <v>25</v>
      </c>
      <c r="I8" s="25" t="s">
        <v>97</v>
      </c>
      <c r="J8" s="10"/>
      <c r="K8" s="11"/>
    </row>
    <row r="9" customFormat="false" ht="15" hidden="false" customHeight="false" outlineLevel="0" collapsed="false">
      <c r="A9" s="11" t="s">
        <v>39</v>
      </c>
      <c r="B9" s="11" t="s">
        <v>45</v>
      </c>
      <c r="C9" s="11" t="s">
        <v>101</v>
      </c>
      <c r="D9" s="11" t="s">
        <v>41</v>
      </c>
      <c r="E9" s="10" t="n">
        <v>46317</v>
      </c>
      <c r="F9" s="11" t="s">
        <v>91</v>
      </c>
      <c r="G9" s="12" t="n">
        <v>18200</v>
      </c>
      <c r="H9" s="11" t="s">
        <v>25</v>
      </c>
      <c r="I9" s="25" t="s">
        <v>97</v>
      </c>
      <c r="J9" s="10"/>
      <c r="K9" s="11"/>
    </row>
    <row r="10" customFormat="false" ht="15" hidden="false" customHeight="false" outlineLevel="0" collapsed="false">
      <c r="A10" s="11" t="s">
        <v>46</v>
      </c>
      <c r="B10" s="11" t="s">
        <v>94</v>
      </c>
      <c r="C10" s="11" t="s">
        <v>95</v>
      </c>
      <c r="D10" s="11" t="s">
        <v>41</v>
      </c>
      <c r="E10" s="10" t="n">
        <v>46307</v>
      </c>
      <c r="F10" s="11" t="s">
        <v>91</v>
      </c>
      <c r="G10" s="12" t="n">
        <v>31200</v>
      </c>
      <c r="H10" s="11" t="s">
        <v>96</v>
      </c>
      <c r="I10" s="11" t="s">
        <v>92</v>
      </c>
      <c r="J10" s="10" t="n">
        <v>46307</v>
      </c>
      <c r="K10" s="11" t="s">
        <v>96</v>
      </c>
    </row>
    <row r="11" customFormat="false" ht="15" hidden="false" customHeight="false" outlineLevel="0" collapsed="false">
      <c r="A11" s="11" t="s">
        <v>46</v>
      </c>
      <c r="B11" s="11" t="s">
        <v>43</v>
      </c>
      <c r="C11" s="11" t="s">
        <v>90</v>
      </c>
      <c r="D11" s="11" t="s">
        <v>41</v>
      </c>
      <c r="E11" s="10" t="n">
        <v>46305</v>
      </c>
      <c r="F11" s="11" t="s">
        <v>91</v>
      </c>
      <c r="G11" s="12" t="n">
        <v>22500</v>
      </c>
      <c r="H11" s="11" t="s">
        <v>25</v>
      </c>
      <c r="I11" s="11" t="s">
        <v>92</v>
      </c>
      <c r="J11" s="10" t="n">
        <v>46305</v>
      </c>
      <c r="K11" s="11" t="s">
        <v>93</v>
      </c>
    </row>
    <row r="12" customFormat="false" ht="15" hidden="false" customHeight="false" outlineLevel="0" collapsed="false">
      <c r="A12" s="11" t="s">
        <v>102</v>
      </c>
      <c r="B12" s="11" t="s">
        <v>98</v>
      </c>
      <c r="C12" s="11" t="s">
        <v>99</v>
      </c>
      <c r="D12" s="11" t="s">
        <v>41</v>
      </c>
      <c r="E12" s="10" t="n">
        <v>46310</v>
      </c>
      <c r="F12" s="11" t="s">
        <v>91</v>
      </c>
      <c r="G12" s="12" t="n">
        <v>68400</v>
      </c>
      <c r="H12" s="11" t="s">
        <v>25</v>
      </c>
      <c r="I12" s="25" t="s">
        <v>97</v>
      </c>
      <c r="J12" s="10"/>
      <c r="K12" s="11"/>
    </row>
    <row r="13" customFormat="false" ht="15" hidden="false" customHeight="false" outlineLevel="0" collapsed="false">
      <c r="A13" s="11" t="s">
        <v>102</v>
      </c>
      <c r="B13" s="11" t="s">
        <v>103</v>
      </c>
      <c r="C13" s="11" t="s">
        <v>104</v>
      </c>
      <c r="D13" s="11" t="s">
        <v>41</v>
      </c>
      <c r="E13" s="10"/>
      <c r="F13" s="11" t="s">
        <v>91</v>
      </c>
      <c r="G13" s="12" t="n">
        <v>45000</v>
      </c>
      <c r="H13" s="11" t="s">
        <v>25</v>
      </c>
      <c r="I13" s="25" t="s">
        <v>97</v>
      </c>
      <c r="J13" s="10"/>
      <c r="K13" s="11"/>
    </row>
    <row r="14" customFormat="false" ht="15" hidden="false" customHeight="false" outlineLevel="0" collapsed="false">
      <c r="A14" s="14" t="s">
        <v>105</v>
      </c>
      <c r="B14" s="15"/>
      <c r="C14" s="15"/>
      <c r="D14" s="15"/>
      <c r="E14" s="15"/>
      <c r="F14" s="15"/>
      <c r="G14" s="16" t="n">
        <f aca="false">SUM(G5:G13)</f>
        <v>385250</v>
      </c>
      <c r="H14" s="15"/>
      <c r="I14" s="15"/>
      <c r="J14" s="15"/>
      <c r="K14" s="15"/>
    </row>
    <row r="15" customFormat="false" ht="15" hidden="false" customHeight="false" outlineLevel="0" collapsed="false">
      <c r="A15" s="26" t="s">
        <v>52</v>
      </c>
      <c r="B15" s="27"/>
      <c r="C15" s="27"/>
      <c r="D15" s="27"/>
      <c r="E15" s="27"/>
      <c r="F15" s="27"/>
      <c r="G15" s="28" t="n">
        <f aca="false">SUMIFS(G5:G13,I5:I13,"Pendiente")</f>
        <v>290250</v>
      </c>
      <c r="H15" s="27"/>
      <c r="I15" s="27"/>
      <c r="J15" s="27"/>
      <c r="K15" s="27"/>
    </row>
  </sheetData>
  <autoFilter ref="A4:K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22"/>
    <col collapsed="false" customWidth="true" hidden="false" outlineLevel="0" max="13" min="12" style="0" width="15"/>
  </cols>
  <sheetData>
    <row r="1" customFormat="false" ht="17.3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21.75" hidden="false" customHeight="true" outlineLevel="0" collapsed="false">
      <c r="A4" s="9" t="s">
        <v>32</v>
      </c>
      <c r="B4" s="9" t="s">
        <v>96</v>
      </c>
      <c r="C4" s="9" t="s">
        <v>27</v>
      </c>
      <c r="D4" s="9" t="s">
        <v>108</v>
      </c>
      <c r="E4" s="9" t="s">
        <v>29</v>
      </c>
      <c r="F4" s="9" t="s">
        <v>109</v>
      </c>
      <c r="G4" s="9" t="s">
        <v>110</v>
      </c>
      <c r="H4" s="9" t="s">
        <v>111</v>
      </c>
      <c r="I4" s="9" t="s">
        <v>112</v>
      </c>
      <c r="J4" s="9" t="s">
        <v>105</v>
      </c>
      <c r="K4" s="9" t="s">
        <v>113</v>
      </c>
      <c r="L4" s="9" t="s">
        <v>114</v>
      </c>
      <c r="M4" s="9" t="s">
        <v>115</v>
      </c>
    </row>
    <row r="5" customFormat="false" ht="15" hidden="false" customHeight="false" outlineLevel="0" collapsed="false">
      <c r="A5" s="11" t="s">
        <v>39</v>
      </c>
      <c r="B5" s="11" t="s">
        <v>116</v>
      </c>
      <c r="C5" s="11" t="s">
        <v>41</v>
      </c>
      <c r="D5" s="10" t="n">
        <v>46300</v>
      </c>
      <c r="E5" s="11" t="s">
        <v>91</v>
      </c>
      <c r="F5" s="12" t="n">
        <v>480000</v>
      </c>
      <c r="G5" s="12" t="n">
        <v>0</v>
      </c>
      <c r="H5" s="12" t="n">
        <v>0</v>
      </c>
      <c r="I5" s="12" t="n">
        <v>28750</v>
      </c>
      <c r="J5" s="12" t="n">
        <f aca="false">F5+G5-H5+I5</f>
        <v>508750</v>
      </c>
      <c r="K5" s="11" t="s">
        <v>93</v>
      </c>
      <c r="L5" s="11" t="s">
        <v>117</v>
      </c>
      <c r="M5" s="11" t="s">
        <v>118</v>
      </c>
    </row>
    <row r="6" customFormat="false" ht="15" hidden="false" customHeight="false" outlineLevel="0" collapsed="false">
      <c r="A6" s="11" t="s">
        <v>46</v>
      </c>
      <c r="B6" s="11" t="s">
        <v>119</v>
      </c>
      <c r="C6" s="11" t="s">
        <v>41</v>
      </c>
      <c r="D6" s="10" t="n">
        <v>46301</v>
      </c>
      <c r="E6" s="11" t="s">
        <v>91</v>
      </c>
      <c r="F6" s="12" t="n">
        <v>350000</v>
      </c>
      <c r="G6" s="12" t="n">
        <v>0</v>
      </c>
      <c r="H6" s="12" t="n">
        <v>0</v>
      </c>
      <c r="I6" s="12" t="n">
        <v>0</v>
      </c>
      <c r="J6" s="12" t="n">
        <f aca="false">F6+G6-H6+I6</f>
        <v>350000</v>
      </c>
      <c r="K6" s="11" t="s">
        <v>93</v>
      </c>
      <c r="L6" s="11" t="s">
        <v>117</v>
      </c>
      <c r="M6" s="11" t="s">
        <v>120</v>
      </c>
    </row>
    <row r="7" customFormat="false" ht="15" hidden="false" customHeight="false" outlineLevel="0" collapsed="false">
      <c r="A7" s="11" t="s">
        <v>121</v>
      </c>
      <c r="B7" s="11" t="s">
        <v>122</v>
      </c>
      <c r="C7" s="11" t="s">
        <v>41</v>
      </c>
      <c r="D7" s="10" t="n">
        <v>46304</v>
      </c>
      <c r="E7" s="11" t="s">
        <v>91</v>
      </c>
      <c r="F7" s="12" t="n">
        <v>620000</v>
      </c>
      <c r="G7" s="12" t="n">
        <v>12400</v>
      </c>
      <c r="H7" s="12" t="n">
        <v>0</v>
      </c>
      <c r="I7" s="12" t="n">
        <v>0</v>
      </c>
      <c r="J7" s="12" t="n">
        <f aca="false">F7+G7-H7+I7</f>
        <v>632400</v>
      </c>
      <c r="K7" s="11" t="s">
        <v>123</v>
      </c>
      <c r="L7" s="11" t="s">
        <v>124</v>
      </c>
      <c r="M7" s="11"/>
    </row>
    <row r="8" customFormat="false" ht="15" hidden="false" customHeight="false" outlineLevel="0" collapsed="false">
      <c r="A8" s="14" t="s">
        <v>47</v>
      </c>
      <c r="B8" s="15"/>
      <c r="C8" s="15"/>
      <c r="D8" s="15"/>
      <c r="E8" s="15"/>
      <c r="F8" s="16" t="n">
        <f aca="false">SUM(F5:F7)</f>
        <v>1450000</v>
      </c>
      <c r="G8" s="16" t="n">
        <f aca="false">SUM(G5:G7)</f>
        <v>12400</v>
      </c>
      <c r="H8" s="16" t="n">
        <f aca="false">SUM(H5:H7)</f>
        <v>0</v>
      </c>
      <c r="I8" s="16" t="n">
        <f aca="false">SUM(I5:I7)</f>
        <v>28750</v>
      </c>
      <c r="J8" s="16" t="n">
        <f aca="false">SUM(J5:J7)</f>
        <v>1491150</v>
      </c>
      <c r="K8" s="15"/>
      <c r="L8" s="15"/>
      <c r="M8" s="15"/>
    </row>
    <row r="9" customFormat="false" ht="15" hidden="false" customHeight="false" outlineLevel="0" collapsed="false">
      <c r="A9" s="26" t="s">
        <v>125</v>
      </c>
      <c r="B9" s="27"/>
      <c r="C9" s="27"/>
      <c r="D9" s="27"/>
      <c r="E9" s="27"/>
      <c r="F9" s="27"/>
      <c r="G9" s="27"/>
      <c r="H9" s="27"/>
      <c r="I9" s="27"/>
      <c r="J9" s="28" t="n">
        <f aca="false">SUMIFS(J5:J7,K5:K7,"Administración")</f>
        <v>858750</v>
      </c>
      <c r="K9" s="27"/>
      <c r="L9" s="27"/>
      <c r="M9" s="27"/>
    </row>
  </sheetData>
  <autoFilter ref="A4:M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2026-10-14T14:19:43Z</dcterms:created>
  <dc:creator>openpyxl</dc:creator>
  <dc:description/>
  <dc:language>en-US</dc:language>
  <cp:lastModifiedBy/>
  <dcterms:modified xsi:type="dcterms:W3CDTF">2026-10-14T14:19:44Z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